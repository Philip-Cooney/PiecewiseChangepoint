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66925"/>
  <xr:revisionPtr revIDLastSave="0" documentId="13_ncr:1_{8D8F23F9-DCA4-4540-881B-533F96ABF31A}" xr6:coauthVersionLast="47" xr6:coauthVersionMax="47" xr10:uidLastSave="{00000000-0000-0000-0000-000000000000}"/>
  <bookViews>
    <workbookView xWindow="-28910" yWindow="-110" windowWidth="29020" windowHeight="15820" xr2:uid="{A46ABA97-3F99-40C9-A7FD-ACF1284D211C}"/>
  </bookViews>
  <sheets>
    <sheet name="Sheet1" sheetId="1" r:id="rId1"/>
  </sheets>
  <functionGroups builtInGroupCount="19"/>
  <externalReferences>
    <externalReference r:id="rId2"/>
  </externalReferences>
  <definedNames>
    <definedName name="Cl_intPFSDist">[1]Clinical!$D$21</definedName>
    <definedName name="ibm">Sheet1!#REF!</definedName>
    <definedName name="ps_intPFSk">[1]Parameters!$D$26:$D$32</definedName>
    <definedName name="ps_intPFSp">[1]Parameters!$D$19:$D$25</definedName>
    <definedName name="t_distributions">[1]Tools!$N$3:$N$14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 a="1"/>
  <c r="C11" i="1" a="1"/>
  <c r="C10" i="1" a="1"/>
  <c r="C9" i="1" a="1"/>
  <c r="C16" i="1" a="1"/>
  <c r="C20" i="1" a="1"/>
  <c r="C18" i="1" a="1"/>
  <c r="C19" i="1" a="1"/>
  <c r="C17" i="1" a="1"/>
  <c r="C14" i="1" a="1"/>
  <c r="C15" i="1" a="1"/>
  <c r="C21" i="1" a="1"/>
  <c r="C12" i="1" a="1"/>
  <c r="C13" i="1" a="1"/>
  <c r="C8" i="1" l="1"/>
  <c r="C10" i="1"/>
  <c r="C11" i="1"/>
  <c r="C9" i="1"/>
  <c r="C21" i="1"/>
  <c r="C15" i="1"/>
  <c r="C14" i="1"/>
  <c r="C17" i="1"/>
  <c r="C19" i="1"/>
  <c r="C18" i="1"/>
  <c r="C20" i="1"/>
  <c r="C16" i="1"/>
  <c r="C13" i="1"/>
  <c r="C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<sst xmlns="http://schemas.openxmlformats.org/spreadsheetml/2006/main" count="4" uniqueCount="4">
  <si>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lambda</t>
  </si>
  <si>
    <t>changepoints</t>
  </si>
  <si>
    <t>St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</si>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</sst>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usUnits\BSC\HEOR\HE%20Modelling\Projects\EM%20Projects\2017\Kisqali%20-%20Breast%20-%20RE%20support\Deliverables\Global%20Model\CEA%20model_Ribociclib_BC%2018%20June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tro"/>
      <sheetName val="Settings"/>
      <sheetName val="Clinical"/>
      <sheetName val="Clinical_2"/>
      <sheetName val="Costs"/>
      <sheetName val="Utility"/>
      <sheetName val="Results"/>
      <sheetName val="Validation"/>
      <sheetName val="Results - scenarios"/>
      <sheetName val="DSA results"/>
      <sheetName val="PSA results"/>
      <sheetName val="Tools"/>
      <sheetName val="Parameters"/>
      <sheetName val="Survival"/>
      <sheetName val="Calculations_Rib+LZE"/>
      <sheetName val="Calculations_Let"/>
      <sheetName val="Calculations_Pal+LZE"/>
      <sheetName val="Calculations_Ful+Ana"/>
      <sheetName val="Calculations_Fulv"/>
      <sheetName val="Calculations_Cape"/>
      <sheetName val="Calculations_Tamoxifen"/>
      <sheetName val="PSA"/>
    </sheetNames>
    <sheetDataSet>
      <sheetData sheetId="0" refreshError="1"/>
      <sheetData sheetId="1" refreshError="1"/>
      <sheetData sheetId="2" refreshError="1"/>
      <sheetData sheetId="3">
        <row r="21">
          <cell r="D21" t="str">
            <v>Exponential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3">
          <cell r="N3" t="str">
            <v>Exponential</v>
          </cell>
        </row>
        <row r="4">
          <cell r="N4" t="str">
            <v>Gamma</v>
          </cell>
        </row>
        <row r="5">
          <cell r="N5" t="str">
            <v>Generalised gamma</v>
          </cell>
        </row>
        <row r="6">
          <cell r="N6" t="str">
            <v>Gompertz</v>
          </cell>
        </row>
        <row r="7">
          <cell r="N7" t="str">
            <v>Loglogistic</v>
          </cell>
        </row>
        <row r="8">
          <cell r="N8" t="str">
            <v>Lognormal</v>
          </cell>
        </row>
        <row r="9">
          <cell r="N9" t="str">
            <v>Weibull</v>
          </cell>
        </row>
        <row r="10">
          <cell r="N10" t="str">
            <v xml:space="preserve">Spline 1 knot </v>
          </cell>
        </row>
        <row r="11">
          <cell r="N11" t="str">
            <v xml:space="preserve">Spline 2 knot </v>
          </cell>
        </row>
        <row r="12">
          <cell r="N12" t="str">
            <v xml:space="preserve">Spline 3 knot </v>
          </cell>
        </row>
        <row r="13">
          <cell r="N13" t="str">
            <v xml:space="preserve">Spline 4 knot </v>
          </cell>
        </row>
        <row r="14">
          <cell r="N14" t="str">
            <v xml:space="preserve">Spline 5 knot </v>
          </cell>
        </row>
      </sheetData>
      <sheetData sheetId="13">
        <row r="19">
          <cell r="D19">
            <v>2.6381245000000001E-2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  <row r="26">
          <cell r="D26" t="str">
            <v>NA</v>
          </cell>
        </row>
        <row r="27">
          <cell r="D27" t="str">
            <v>NA</v>
          </cell>
        </row>
        <row r="28">
          <cell r="D28" t="str">
            <v>NA</v>
          </cell>
        </row>
        <row r="29">
          <cell r="D29" t="str">
            <v>NA</v>
          </cell>
        </row>
        <row r="30">
          <cell r="D30" t="str">
            <v>NA</v>
          </cell>
        </row>
        <row r="31">
          <cell r="D31" t="str">
            <v>NA</v>
          </cell>
        </row>
        <row r="32">
          <cell r="D32" t="str">
            <v>NA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7AD4-6343-4137-9220-C2930B4F95E5}">
  <sheetPr codeName="Sheet1"/>
  <dimension ref="B4:E21"/>
  <sheetViews>
    <sheetView tabSelected="1" workbookViewId="0">
      <selection activeCell="C10" sqref="C10"/>
    </sheetView>
  </sheetViews>
  <sheetFormatPr defaultRowHeight="12.5" x14ac:dyDescent="0.25"/>
  <cols>
    <col min="2" max="2" width="18.453125" customWidth="1"/>
    <col min="3" max="3" width="20.6328125" customWidth="1"/>
  </cols>
  <sheetData>
    <row r="4" spans="2:5" x14ac:dyDescent="0.25">
      <c r="B4" s="1" t="s">
        <v>0</v>
      </c>
      <c r="C4" s="2">
        <v>0.25</v>
      </c>
      <c r="D4" s="2">
        <v>0.1</v>
      </c>
      <c r="E4" s="2">
        <v>0.25</v>
      </c>
    </row>
    <row r="5" spans="2:5" x14ac:dyDescent="0.25">
      <c r="B5" s="1" t="s">
        <v>1</v>
      </c>
      <c r="C5" s="2">
        <v>1</v>
      </c>
      <c r="D5" s="2">
        <v>5</v>
      </c>
      <c r="E5" s="2"/>
    </row>
    <row r="7" spans="2:5" x14ac:dyDescent="0.25">
      <c r="B7" s="1" t="s">
        <v>3</v>
      </c>
      <c r="C7" s="1" t="s">
        <v>2</v>
      </c>
    </row>
    <row r="8" spans="2:5" x14ac:dyDescent="0.25">
      <c r="B8" s="2">
        <v>0</v>
      </c>
      <c r="C8" s="2" cm="1">
        <f t="array" aca="1" ref="C8" ca="1">Survival_PEM(B8,$C$4:$E$4,$C$5:$D$5,COUNT($C$4:$E$4))</f>
        <v>1</v>
      </c>
    </row>
    <row r="9" spans="2:5" x14ac:dyDescent="0.25">
      <c r="B9" s="2">
        <v>1</v>
      </c>
      <c r="C9" s="2" cm="1">
        <f t="array" aca="1" ref="C9" ca="1">Survival_PEM(B9,$C$4:$E$4,$C$5:$D$5,COUNT($C$4:$E$4))</f>
        <v>0.77880078307140488</v>
      </c>
    </row>
    <row r="10" spans="2:5" x14ac:dyDescent="0.25">
      <c r="B10" s="2">
        <v>2</v>
      </c>
      <c r="C10" s="2" cm="1">
        <f t="array" aca="1" ref="C10" ca="1">Survival_PEM(B10,$C$4:$E$4,$C$5:$D$5,COUNT($C$4:$E$4))</f>
        <v>0.70468808971871344</v>
      </c>
    </row>
    <row r="11" spans="2:5" x14ac:dyDescent="0.25">
      <c r="B11" s="2">
        <v>3</v>
      </c>
      <c r="C11" s="2" cm="1">
        <f t="array" aca="1" ref="C11" ca="1">Survival_PEM(B11,$C$4:$E$4,$C$5:$D$5,COUNT($C$4:$E$4))</f>
        <v>0.63762815162177333</v>
      </c>
    </row>
    <row r="12" spans="2:5" x14ac:dyDescent="0.25">
      <c r="B12" s="2">
        <v>4</v>
      </c>
      <c r="C12" s="2" cm="1">
        <f t="array" aca="1" ref="C12" ca="1">Survival_PEM(B12,$C$4:$E$4,$C$5:$D$5,COUNT($C$4:$E$4))</f>
        <v>0.57694981038048665</v>
      </c>
    </row>
    <row r="13" spans="2:5" x14ac:dyDescent="0.25">
      <c r="B13" s="2">
        <v>5</v>
      </c>
      <c r="C13" s="2" cm="1">
        <f t="array" aca="1" ref="C13" ca="1">Survival_PEM(B13,$C$4:$E$4,$C$5:$D$5,COUNT($C$4:$E$4))</f>
        <v>0.52204577676101604</v>
      </c>
    </row>
    <row r="14" spans="2:5" x14ac:dyDescent="0.25">
      <c r="B14" s="2">
        <v>6</v>
      </c>
      <c r="C14" s="2" cm="1">
        <f t="array" aca="1" ref="C14" ca="1">Survival_PEM(B14,$C$4:$E$4,$C$5:$D$5,COUNT($C$4:$E$4))</f>
        <v>0.40656965974059911</v>
      </c>
    </row>
    <row r="15" spans="2:5" x14ac:dyDescent="0.25">
      <c r="B15" s="2">
        <v>7</v>
      </c>
      <c r="C15" s="2" cm="1">
        <f t="array" aca="1" ref="C15" ca="1">Survival_PEM(B15,$C$4:$E$4,$C$5:$D$5,COUNT($C$4:$E$4))</f>
        <v>0.31663676937905327</v>
      </c>
    </row>
    <row r="16" spans="2:5" x14ac:dyDescent="0.25">
      <c r="B16" s="2">
        <v>8</v>
      </c>
      <c r="C16" s="2" cm="1">
        <f t="array" aca="1" ref="C16" ca="1">Survival_PEM(B16,$C$4:$E$4,$C$5:$D$5,COUNT($C$4:$E$4))</f>
        <v>0.24659696394160649</v>
      </c>
    </row>
    <row r="17" spans="2:3" x14ac:dyDescent="0.25">
      <c r="B17" s="2">
        <v>9</v>
      </c>
      <c r="C17" s="2" cm="1">
        <f t="array" aca="1" ref="C17" ca="1">Survival_PEM(B17,$C$4:$E$4,$C$5:$D$5,COUNT($C$4:$E$4))</f>
        <v>0.19204990862075413</v>
      </c>
    </row>
    <row r="18" spans="2:3" x14ac:dyDescent="0.25">
      <c r="B18" s="2">
        <v>10</v>
      </c>
      <c r="C18" s="2" cm="1">
        <f t="array" aca="1" ref="C18" ca="1">Survival_PEM(B18,$C$4:$E$4,$C$5:$D$5,COUNT($C$4:$E$4))</f>
        <v>0.14956861922263506</v>
      </c>
    </row>
    <row r="19" spans="2:3" x14ac:dyDescent="0.25">
      <c r="B19" s="2">
        <v>11</v>
      </c>
      <c r="C19" s="2" cm="1">
        <f t="array" aca="1" ref="C19" ca="1">Survival_PEM(B19,$C$4:$E$4,$C$5:$D$5,COUNT($C$4:$E$4))</f>
        <v>0.11648415777349697</v>
      </c>
    </row>
    <row r="20" spans="2:3" x14ac:dyDescent="0.25">
      <c r="B20" s="2">
        <v>12</v>
      </c>
      <c r="C20" s="2" cm="1">
        <f t="array" aca="1" ref="C20" ca="1">Survival_PEM(B20,$C$4:$E$4,$C$5:$D$5,COUNT($C$4:$E$4))</f>
        <v>9.0717953289412512E-2</v>
      </c>
    </row>
    <row r="21" spans="2:3" x14ac:dyDescent="0.25">
      <c r="B21" s="2">
        <v>13</v>
      </c>
      <c r="C21" s="2" cm="1">
        <f t="array" aca="1" ref="C21" ca="1">Survival_PEM(B21,$C$4:$E$4,$C$5:$D$5,COUNT($C$4:$E$4))</f>
        <v>7.0651213060429596E-2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2023-03-23T14:12:30Z</dcterms:created>
  <dcterms:modified xsi:type="dcterms:W3CDTF">2023-03-23T14:13:06Z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001d4d2-76b9-44a6-bec6-5aee37463dca_Enabled">
    <vt:lpwstr>true</vt:lpwstr>
  </property>
  <property fmtid="{D5CDD505-2E9C-101B-9397-08002B2CF9AE}" pid="3" name="MSIP_Label_5001d4d2-76b9-44a6-bec6-5aee37463dca_SetDate">
    <vt:lpwstr>2023-03-23T14:12:52Z</vt:lpwstr>
  </property>
  <property fmtid="{D5CDD505-2E9C-101B-9397-08002B2CF9AE}" pid="4" name="MSIP_Label_5001d4d2-76b9-44a6-bec6-5aee37463dca_Method">
    <vt:lpwstr>Privileged</vt:lpwstr>
  </property>
  <property fmtid="{D5CDD505-2E9C-101B-9397-08002B2CF9AE}" pid="5" name="MSIP_Label_5001d4d2-76b9-44a6-bec6-5aee37463dca_Name">
    <vt:lpwstr>Public - Pilot</vt:lpwstr>
  </property>
  <property fmtid="{D5CDD505-2E9C-101B-9397-08002B2CF9AE}" pid="6" name="MSIP_Label_5001d4d2-76b9-44a6-bec6-5aee37463dca_SiteId">
    <vt:lpwstr>f35a6974-607f-47d4-82d7-ff31d7dc53a5</vt:lpwstr>
  </property>
  <property fmtid="{D5CDD505-2E9C-101B-9397-08002B2CF9AE}" pid="7" name="MSIP_Label_5001d4d2-76b9-44a6-bec6-5aee37463dca_ActionId">
    <vt:lpwstr>35da6dee-2cf6-4e6c-83e0-ba38e108eae5</vt:lpwstr>
  </property>
  <property fmtid="{D5CDD505-2E9C-101B-9397-08002B2CF9AE}" pid="8" name="MSIP_Label_5001d4d2-76b9-44a6-bec6-5aee37463dca_ContentBits">
    <vt:lpwstr>0</vt:lpwstr>
  </property>
</Properties>
</file>